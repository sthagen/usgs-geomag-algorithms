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aseline\DMI\CMO\"/>
    </mc:Choice>
  </mc:AlternateContent>
  <bookViews>
    <workbookView xWindow="-1020" yWindow="240" windowWidth="18195" windowHeight="11820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Print_Area" localSheetId="0">Sheet1!$A$1:$J$55</definedName>
  </definedNames>
  <calcPr calcId="152511"/>
</workbook>
</file>

<file path=xl/calcChain.xml><?xml version="1.0" encoding="utf-8"?>
<calcChain xmlns="http://schemas.openxmlformats.org/spreadsheetml/2006/main">
  <c r="I25" i="1" l="1"/>
  <c r="I39" i="1" s="1"/>
  <c r="I26" i="1"/>
  <c r="I40" i="1" s="1"/>
  <c r="I27" i="1"/>
  <c r="I41" i="1" s="1"/>
  <c r="I24" i="1"/>
  <c r="I38" i="1" s="1"/>
  <c r="B25" i="1" l="1"/>
  <c r="B39" i="1" s="1"/>
  <c r="B26" i="1"/>
  <c r="B40" i="1" s="1"/>
  <c r="B27" i="1"/>
  <c r="B41" i="1" s="1"/>
  <c r="B24" i="1"/>
  <c r="B38" i="1" s="1"/>
  <c r="H46" i="1" l="1"/>
  <c r="H45" i="1"/>
  <c r="H44" i="1"/>
  <c r="H32" i="1"/>
  <c r="H31" i="1"/>
  <c r="H30" i="1"/>
  <c r="H18" i="1"/>
  <c r="H17" i="1"/>
  <c r="H16" i="1"/>
  <c r="I2" i="1"/>
</calcChain>
</file>

<file path=xl/sharedStrings.xml><?xml version="1.0" encoding="utf-8"?>
<sst xmlns="http://schemas.openxmlformats.org/spreadsheetml/2006/main" count="56" uniqueCount="32">
  <si>
    <t>PCDCP  BASELINE SUMMARY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</si>
  <si>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</si>
  <si>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</si>
  <si>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</si>
  <si>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</si>
  <si>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</si>
  <si>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</si>
  <si>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</si>
  <si>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</si>
  <si>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</si>
  <si>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</si>
  <si>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</si>
  <si>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</si>
  <si>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</si>
  <si>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</si>
  <si>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</si>
  <si>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</si>
  <si>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</si>
  <si>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</si>
  <si>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</si>
  <si>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</si>
  <si>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</si>
  <si>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</si>
  <si>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</si>
  <si>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</si>
  <si>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</si>
  <si>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</si>
  <si>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College</t>
  </si>
  <si>
    <t>Pier Correction</t>
  </si>
  <si>
    <t>KR</t>
  </si>
  <si>
    <t>CMO20152971940.xlsm</t>
  </si>
  <si>
    <t>EWW  11-5-2016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</si>
</sst>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/>
    <cellStyle name="Currency0" xfId="3"/>
    <cellStyle name="Date" xfId="4"/>
    <cellStyle name="Fixed" xfId="5"/>
    <cellStyle name="Heading 1 2" xfId="6"/>
    <cellStyle name="Heading 2 2" xfId="7"/>
    <cellStyle name="Normal" xfId="0" builtinId="0"/>
    <cellStyle name="Normal 2" xfId="1"/>
    <cellStyle name="Total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/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53"/>
  <sheetViews>
    <sheetView tabSelected="1" workbookViewId="0"/>
  </sheetViews>
  <sheetFormatPr defaultRowHeight="15" x14ac:dyDescent="0.25"/>
  <cols>
    <col min="9" max="9" width="10.71093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26</v>
      </c>
      <c r="I1" s="56">
        <v>42301</v>
      </c>
      <c r="J1" s="1"/>
    </row>
    <row r="2" spans="1:10" x14ac:dyDescent="0.25">
      <c r="A2" s="2"/>
      <c r="B2" s="2"/>
      <c r="C2" s="9" t="s">
        <v>27</v>
      </c>
      <c r="D2" s="2"/>
      <c r="E2" s="3" t="s">
        <v>1</v>
      </c>
      <c r="F2" s="2"/>
      <c r="G2" s="2"/>
      <c r="H2" s="3" t="s">
        <v>2</v>
      </c>
      <c r="I2" s="37" t="str">
        <f>calcyjd(I1)</f>
        <v>15297</v>
      </c>
      <c r="J2" s="1"/>
    </row>
    <row r="3" spans="1:10" x14ac:dyDescent="0.25">
      <c r="A3" s="3" t="s">
        <v>3</v>
      </c>
      <c r="B3" s="11">
        <v>200803</v>
      </c>
      <c r="C3" s="43">
        <v>143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4</v>
      </c>
      <c r="B4" s="11" t="s">
        <v>5</v>
      </c>
      <c r="C4" s="2"/>
      <c r="E4" s="2"/>
      <c r="F4" s="2"/>
      <c r="G4" s="2"/>
      <c r="H4" s="2"/>
      <c r="I4" s="2"/>
      <c r="J4" s="1"/>
    </row>
    <row r="5" spans="1:10" s="1" customFormat="1" ht="15.75" x14ac:dyDescent="0.25">
      <c r="A5" s="3" t="s">
        <v>28</v>
      </c>
      <c r="B5" s="11"/>
      <c r="C5" s="59">
        <v>10.5</v>
      </c>
      <c r="D5" s="8"/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6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7</v>
      </c>
      <c r="D8" s="28"/>
      <c r="E8" s="28"/>
      <c r="F8" s="28" t="s">
        <v>8</v>
      </c>
      <c r="G8" s="60" t="s">
        <v>9</v>
      </c>
      <c r="H8" s="60"/>
      <c r="I8" s="29"/>
      <c r="J8" s="1"/>
    </row>
    <row r="9" spans="1:10" ht="15.75" thickBot="1" x14ac:dyDescent="0.3">
      <c r="A9" s="30"/>
      <c r="B9" s="33" t="s">
        <v>10</v>
      </c>
      <c r="C9" s="33" t="s">
        <v>11</v>
      </c>
      <c r="D9" s="33" t="s">
        <v>12</v>
      </c>
      <c r="E9" s="31"/>
      <c r="F9" s="33" t="s">
        <v>13</v>
      </c>
      <c r="G9" s="38"/>
      <c r="H9" s="49" t="s">
        <v>12</v>
      </c>
      <c r="I9" s="34" t="s">
        <v>14</v>
      </c>
      <c r="J9" s="1"/>
    </row>
    <row r="10" spans="1:10" x14ac:dyDescent="0.25">
      <c r="A10" s="42"/>
      <c r="B10" s="39">
        <v>1940</v>
      </c>
      <c r="C10" s="7">
        <v>18</v>
      </c>
      <c r="D10" s="6">
        <v>21.900000000000119</v>
      </c>
      <c r="E10" s="2"/>
      <c r="F10" s="6"/>
      <c r="G10" s="2"/>
      <c r="H10" s="53">
        <v>1128.0899999999999</v>
      </c>
      <c r="I10" s="46" t="s">
        <v>29</v>
      </c>
      <c r="J10" s="1"/>
    </row>
    <row r="11" spans="1:10" x14ac:dyDescent="0.25">
      <c r="A11" s="42"/>
      <c r="B11" s="39">
        <v>1956</v>
      </c>
      <c r="C11" s="7">
        <v>18</v>
      </c>
      <c r="D11" s="6">
        <v>25.200000000000102</v>
      </c>
      <c r="E11" s="2"/>
      <c r="F11" s="6"/>
      <c r="G11" s="2"/>
      <c r="H11" s="54">
        <v>1128.0999999999999</v>
      </c>
      <c r="I11" s="46" t="s">
        <v>29</v>
      </c>
      <c r="J11" s="1"/>
    </row>
    <row r="12" spans="1:10" x14ac:dyDescent="0.25">
      <c r="A12" s="42"/>
      <c r="B12" s="39">
        <v>2013</v>
      </c>
      <c r="C12" s="7">
        <v>18</v>
      </c>
      <c r="D12" s="6">
        <v>18.999999999999986</v>
      </c>
      <c r="E12" s="2"/>
      <c r="F12" s="6"/>
      <c r="G12" s="2"/>
      <c r="H12" s="54">
        <v>1128.03</v>
      </c>
      <c r="I12" s="46" t="s">
        <v>29</v>
      </c>
      <c r="J12" s="1"/>
    </row>
    <row r="13" spans="1:10" ht="15.75" thickBot="1" x14ac:dyDescent="0.3">
      <c r="A13" s="42"/>
      <c r="B13" s="39">
        <v>2028</v>
      </c>
      <c r="C13" s="7">
        <v>18</v>
      </c>
      <c r="D13" s="6">
        <v>23.599999999999852</v>
      </c>
      <c r="E13" s="2"/>
      <c r="F13" s="6"/>
      <c r="G13" s="2"/>
      <c r="H13" s="55">
        <v>1128.24</v>
      </c>
      <c r="I13" s="46" t="s">
        <v>29</v>
      </c>
      <c r="J13" s="1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15</v>
      </c>
      <c r="H16" s="10">
        <f>AVERAGE(H10:H13)</f>
        <v>1128.1149999999998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16</v>
      </c>
      <c r="H17" s="10">
        <f>MAX(H10:H13)-MIN(H10:H13)</f>
        <v>0.21000000000003638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17</v>
      </c>
      <c r="H18" s="44">
        <f>STDEVP(H10:H13)</f>
        <v>7.6974021591725561E-2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18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19</v>
      </c>
      <c r="D22" s="27"/>
      <c r="E22" s="27"/>
      <c r="F22" s="28" t="s">
        <v>8</v>
      </c>
      <c r="G22" s="60" t="s">
        <v>9</v>
      </c>
      <c r="H22" s="60"/>
      <c r="I22" s="61"/>
      <c r="J22" s="1"/>
    </row>
    <row r="23" spans="1:10" ht="15.75" thickBot="1" x14ac:dyDescent="0.3">
      <c r="A23" s="30"/>
      <c r="B23" s="33" t="s">
        <v>10</v>
      </c>
      <c r="C23" s="32"/>
      <c r="D23" s="33" t="s">
        <v>20</v>
      </c>
      <c r="E23" s="32"/>
      <c r="F23" s="33" t="s">
        <v>20</v>
      </c>
      <c r="G23" s="32"/>
      <c r="H23" s="49" t="s">
        <v>20</v>
      </c>
      <c r="I23" s="34" t="s">
        <v>14</v>
      </c>
      <c r="J23" s="1"/>
    </row>
    <row r="24" spans="1:10" x14ac:dyDescent="0.25">
      <c r="A24" s="39"/>
      <c r="B24" s="39">
        <f>B10</f>
        <v>1940</v>
      </c>
      <c r="C24" s="2"/>
      <c r="D24" s="5">
        <v>12539.272373743541</v>
      </c>
      <c r="E24" s="2"/>
      <c r="F24" s="6"/>
      <c r="G24" s="2"/>
      <c r="H24" s="50">
        <v>172.5</v>
      </c>
      <c r="I24" s="7" t="str">
        <f>I10</f>
        <v>KR</v>
      </c>
      <c r="J24" s="1"/>
    </row>
    <row r="25" spans="1:10" x14ac:dyDescent="0.25">
      <c r="A25" s="39"/>
      <c r="B25" s="39">
        <f t="shared" ref="B25:B27" si="0">B11</f>
        <v>1956</v>
      </c>
      <c r="C25" s="2"/>
      <c r="D25" s="5">
        <v>12521.095276531243</v>
      </c>
      <c r="E25" s="2"/>
      <c r="F25" s="6"/>
      <c r="G25" s="2"/>
      <c r="H25" s="51">
        <v>172.6</v>
      </c>
      <c r="I25" s="7" t="str">
        <f t="shared" ref="I25:I27" si="1">I11</f>
        <v>KR</v>
      </c>
      <c r="J25" s="1"/>
    </row>
    <row r="26" spans="1:10" x14ac:dyDescent="0.25">
      <c r="A26" s="39"/>
      <c r="B26" s="39">
        <f t="shared" si="0"/>
        <v>2013</v>
      </c>
      <c r="C26" s="2"/>
      <c r="D26" s="5">
        <v>12544.007217797749</v>
      </c>
      <c r="E26" s="2"/>
      <c r="F26" s="6"/>
      <c r="G26" s="2"/>
      <c r="H26" s="51">
        <v>172.6</v>
      </c>
      <c r="I26" s="7" t="str">
        <f t="shared" si="1"/>
        <v>KR</v>
      </c>
      <c r="J26" s="1"/>
    </row>
    <row r="27" spans="1:10" ht="15.75" thickBot="1" x14ac:dyDescent="0.3">
      <c r="A27" s="39"/>
      <c r="B27" s="39">
        <f t="shared" si="0"/>
        <v>2028</v>
      </c>
      <c r="C27" s="2"/>
      <c r="D27" s="5">
        <v>12542.917405208287</v>
      </c>
      <c r="E27" s="2"/>
      <c r="F27" s="6"/>
      <c r="G27" s="2"/>
      <c r="H27" s="52">
        <v>173</v>
      </c>
      <c r="I27" s="7" t="str">
        <f t="shared" si="1"/>
        <v>KR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15</v>
      </c>
      <c r="H30" s="10">
        <f>AVERAGE(H24:H27)</f>
        <v>172.67500000000001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16</v>
      </c>
      <c r="H31" s="10">
        <f>MAX(H24:H27)-MIN(H24:H27)</f>
        <v>0.5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17</v>
      </c>
      <c r="H32" s="44">
        <f>STDEVP(H24:H27)</f>
        <v>0.19202864369671632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21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19</v>
      </c>
      <c r="D36" s="27"/>
      <c r="E36" s="27"/>
      <c r="F36" s="28" t="s">
        <v>8</v>
      </c>
      <c r="G36" s="60" t="s">
        <v>9</v>
      </c>
      <c r="H36" s="60"/>
      <c r="I36" s="61"/>
      <c r="J36" s="1"/>
    </row>
    <row r="37" spans="1:10" ht="15.75" thickBot="1" x14ac:dyDescent="0.3">
      <c r="A37" s="30"/>
      <c r="B37" s="31" t="s">
        <v>10</v>
      </c>
      <c r="C37" s="32"/>
      <c r="D37" s="33" t="s">
        <v>20</v>
      </c>
      <c r="E37" s="32"/>
      <c r="F37" s="33" t="s">
        <v>20</v>
      </c>
      <c r="G37" s="32"/>
      <c r="H37" s="49" t="s">
        <v>20</v>
      </c>
      <c r="I37" s="34" t="s">
        <v>14</v>
      </c>
      <c r="J37" s="1"/>
    </row>
    <row r="38" spans="1:10" x14ac:dyDescent="0.25">
      <c r="A38" s="39"/>
      <c r="B38" s="39">
        <f>B24</f>
        <v>1940</v>
      </c>
      <c r="C38" s="2"/>
      <c r="D38" s="5">
        <v>55363.718999999997</v>
      </c>
      <c r="E38" s="2"/>
      <c r="F38" s="6"/>
      <c r="G38" s="2"/>
      <c r="H38" s="50">
        <v>-54.3</v>
      </c>
      <c r="I38" s="7" t="str">
        <f>I24</f>
        <v>KR</v>
      </c>
      <c r="J38" s="1"/>
    </row>
    <row r="39" spans="1:10" x14ac:dyDescent="0.25">
      <c r="A39" s="39"/>
      <c r="B39" s="39">
        <f t="shared" ref="B39:B41" si="2">B25</f>
        <v>1956</v>
      </c>
      <c r="C39" s="2"/>
      <c r="D39" s="5">
        <v>55372.858999999997</v>
      </c>
      <c r="E39" s="2"/>
      <c r="F39" s="6"/>
      <c r="G39" s="2"/>
      <c r="H39" s="51">
        <v>-54.3</v>
      </c>
      <c r="I39" s="7" t="str">
        <f t="shared" ref="I39:I41" si="3">I25</f>
        <v>KR</v>
      </c>
      <c r="J39" s="1"/>
    </row>
    <row r="40" spans="1:10" x14ac:dyDescent="0.25">
      <c r="A40" s="39"/>
      <c r="B40" s="39">
        <f t="shared" si="2"/>
        <v>2013</v>
      </c>
      <c r="C40" s="2"/>
      <c r="D40" s="5">
        <v>55355.799999999996</v>
      </c>
      <c r="E40" s="2"/>
      <c r="F40" s="6"/>
      <c r="G40" s="2"/>
      <c r="H40" s="51">
        <v>-54.3</v>
      </c>
      <c r="I40" s="7" t="str">
        <f t="shared" si="3"/>
        <v>KR</v>
      </c>
      <c r="J40" s="1"/>
    </row>
    <row r="41" spans="1:10" ht="15.75" thickBot="1" x14ac:dyDescent="0.3">
      <c r="A41" s="39"/>
      <c r="B41" s="39">
        <f t="shared" si="2"/>
        <v>2028</v>
      </c>
      <c r="C41" s="2"/>
      <c r="D41" s="5">
        <v>55369.710999999996</v>
      </c>
      <c r="E41" s="2"/>
      <c r="F41" s="6"/>
      <c r="G41" s="2"/>
      <c r="H41" s="52">
        <v>-54.4</v>
      </c>
      <c r="I41" s="7" t="str">
        <f t="shared" si="3"/>
        <v>KR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15</v>
      </c>
      <c r="H44" s="10">
        <f>AVERAGE(H38:H41)</f>
        <v>-54.324999999999996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16</v>
      </c>
      <c r="H45" s="10">
        <f>MAX(H38:H41)-MIN(H38:H41)</f>
        <v>0.10000000000000142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17</v>
      </c>
      <c r="H46" s="44">
        <f>STDEVP(H38:H41)</f>
        <v>4.330127018922255E-2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22</v>
      </c>
      <c r="B48" s="23"/>
      <c r="C48" s="23"/>
      <c r="D48" s="47" t="s">
        <v>31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23</v>
      </c>
      <c r="C49" s="23"/>
      <c r="D49" s="58" t="s">
        <v>30</v>
      </c>
      <c r="E49" s="40"/>
      <c r="F49" s="41"/>
      <c r="G49" s="2"/>
      <c r="H49" s="2"/>
      <c r="I49" s="2"/>
      <c r="J49" s="1"/>
    </row>
    <row r="50" spans="1:10" x14ac:dyDescent="0.25">
      <c r="A50" s="13" t="s">
        <v>24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25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2015-11-06T23:55:22Z</cp:lastPrinted>
  <dcterms:created xsi:type="dcterms:W3CDTF">2014-06-10T15:39:12Z</dcterms:created>
  <dcterms:modified xsi:type="dcterms:W3CDTF">2015-11-06T23:56:58Z</dcterms:modified>
</cp:coreProperties>
</file>