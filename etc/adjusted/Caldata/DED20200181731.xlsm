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adhorse\2020\"/>
    </mc:Choice>
  </mc:AlternateContent>
  <xr:revisionPtr revIDLastSave="0" documentId="13_ncr:1_{74914E78-299D-427A-9C08-793839492D69}" xr6:coauthVersionLast="44" xr6:coauthVersionMax="44" xr10:uidLastSave="{00000000-0000-0000-0000-000000000000}"/>
  <bookViews>
    <workbookView xWindow="5655" yWindow="795" windowWidth="14265" windowHeight="1591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Print_Area" localSheetId="0">Sheet1!$A$1:$J$55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7" i="1" l="1"/>
  <c r="H16" i="1"/>
  <c r="H18" i="1"/>
  <c r="I27" i="1" l="1"/>
  <c r="I41" i="1"/>
  <c r="B41" i="1"/>
  <c r="B27" i="1"/>
  <c r="H46" i="1" l="1"/>
  <c r="H45" i="1"/>
  <c r="H44" i="1"/>
  <c r="H32" i="1"/>
  <c r="H31" i="1"/>
  <c r="H30" i="1"/>
  <c r="B40" i="1" l="1"/>
  <c r="B26" i="1"/>
  <c r="I40" i="1"/>
  <c r="I26" i="1"/>
  <c r="I25" i="1" l="1"/>
  <c r="I39" i="1" s="1"/>
  <c r="I24" i="1"/>
  <c r="I38" i="1" s="1"/>
  <c r="B25" i="1" l="1"/>
  <c r="B39" i="1" s="1"/>
  <c r="B24" i="1"/>
  <c r="B38" i="1" s="1"/>
  <c r="I2" i="1"/>
</calcChain>
</file>

<file path=xl/sharedStrings.xml><?xml version="1.0" encoding="utf-8"?>
<sst xmlns="http://schemas.openxmlformats.org/spreadsheetml/2006/main" count="57" uniqueCount="33">
  <si>
    <t>PCDCP  BASELINE SUMMARY</t>
  </si>
  <si>
    <t>Deadhorse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</si>
  <si>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</si>
  <si>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</si>
  <si>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</si>
  <si>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</si>
  <si>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</si>
  <si>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</si>
  <si>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</si>
  <si>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</si>
  <si>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</si>
  <si>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</si>
  <si>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</si>
  <si>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</si>
  <si>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</si>
  <si>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</si>
  <si>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</si>
  <si>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</si>
  <si>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</si>
  <si>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</si>
  <si>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</si>
  <si>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</si>
  <si>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</si>
  <si>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</si>
  <si>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</si>
  <si>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</si>
  <si>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</si>
  <si>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</si>
  <si>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Pier Correction</t>
  </si>
  <si>
    <t>MW</t>
  </si>
  <si>
    <t>Rejected</t>
  </si>
  <si>
    <t>DED20200181731.xlsm</t>
  </si>
  <si>
    <t>EWW  1-29-2020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</si>
</sst>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 xr:uid="{00000000-0005-0000-0000-000000000000}"/>
    <cellStyle name="Currency0" xfId="3" xr:uid="{00000000-0005-0000-0000-000001000000}"/>
    <cellStyle name="Date" xfId="4" xr:uid="{00000000-0005-0000-0000-000002000000}"/>
    <cellStyle name="Fixed" xfId="5" xr:uid="{00000000-0005-0000-0000-000003000000}"/>
    <cellStyle name="Heading 1 2" xfId="6" xr:uid="{00000000-0005-0000-0000-000004000000}"/>
    <cellStyle name="Heading 2 2" xfId="7" xr:uid="{00000000-0005-0000-0000-000005000000}"/>
    <cellStyle name="Normal" xfId="0" builtinId="0"/>
    <cellStyle name="Normal 2" xfId="1" xr:uid="{00000000-0005-0000-0000-000007000000}"/>
    <cellStyle name="Total 2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53"/>
  <sheetViews>
    <sheetView tabSelected="1" workbookViewId="0"/>
  </sheetViews>
  <sheetFormatPr defaultRowHeight="15" x14ac:dyDescent="0.25"/>
  <cols>
    <col min="1" max="1" width="11.140625" customWidth="1"/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27</v>
      </c>
      <c r="I1" s="56">
        <v>43848</v>
      </c>
      <c r="J1" s="1"/>
    </row>
    <row r="2" spans="1:10" x14ac:dyDescent="0.25">
      <c r="A2" s="2"/>
      <c r="B2" s="2"/>
      <c r="C2" s="9" t="s">
        <v>1</v>
      </c>
      <c r="D2" s="2"/>
      <c r="E2" s="3" t="s">
        <v>2</v>
      </c>
      <c r="F2" s="2"/>
      <c r="G2" s="2"/>
      <c r="H2" s="3" t="s">
        <v>3</v>
      </c>
      <c r="I2" s="37" t="str">
        <f>calcyjd(I1)</f>
        <v>20018</v>
      </c>
      <c r="J2" s="1"/>
    </row>
    <row r="3" spans="1:10" x14ac:dyDescent="0.25">
      <c r="A3" s="3" t="s">
        <v>4</v>
      </c>
      <c r="B3" s="11">
        <v>300611</v>
      </c>
      <c r="C3" s="43">
        <v>166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5</v>
      </c>
      <c r="B4" s="11" t="s">
        <v>6</v>
      </c>
      <c r="C4" s="2"/>
      <c r="E4" s="2"/>
      <c r="F4" s="2"/>
      <c r="G4" s="2"/>
      <c r="H4" s="2"/>
      <c r="I4" s="2"/>
      <c r="J4" s="1"/>
    </row>
    <row r="5" spans="1:10" s="1" customFormat="1" x14ac:dyDescent="0.25">
      <c r="A5" s="3" t="s">
        <v>28</v>
      </c>
      <c r="B5" s="11"/>
      <c r="C5" s="59">
        <v>-0.5</v>
      </c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7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8</v>
      </c>
      <c r="D8" s="28"/>
      <c r="E8" s="28"/>
      <c r="F8" s="28" t="s">
        <v>9</v>
      </c>
      <c r="G8" s="60" t="s">
        <v>10</v>
      </c>
      <c r="H8" s="60"/>
      <c r="I8" s="29"/>
      <c r="J8" s="1"/>
    </row>
    <row r="9" spans="1:10" ht="15.75" thickBot="1" x14ac:dyDescent="0.3">
      <c r="A9" s="30"/>
      <c r="B9" s="33" t="s">
        <v>11</v>
      </c>
      <c r="C9" s="33" t="s">
        <v>12</v>
      </c>
      <c r="D9" s="33" t="s">
        <v>13</v>
      </c>
      <c r="E9" s="31"/>
      <c r="F9" s="33" t="s">
        <v>14</v>
      </c>
      <c r="G9" s="38"/>
      <c r="H9" s="49" t="s">
        <v>13</v>
      </c>
      <c r="I9" s="34" t="s">
        <v>15</v>
      </c>
      <c r="J9" s="1"/>
    </row>
    <row r="10" spans="1:10" x14ac:dyDescent="0.25">
      <c r="A10" s="42"/>
      <c r="B10" s="39">
        <v>1731</v>
      </c>
      <c r="C10" s="7">
        <v>16</v>
      </c>
      <c r="D10" s="6">
        <v>33.900000000000077</v>
      </c>
      <c r="E10" s="2"/>
      <c r="F10" s="6"/>
      <c r="G10" s="2"/>
      <c r="H10" s="53">
        <v>1029.92</v>
      </c>
      <c r="I10" s="46" t="s">
        <v>29</v>
      </c>
      <c r="J10" s="1"/>
    </row>
    <row r="11" spans="1:10" x14ac:dyDescent="0.25">
      <c r="A11" s="42"/>
      <c r="B11" s="39">
        <v>1750</v>
      </c>
      <c r="C11" s="7">
        <v>16</v>
      </c>
      <c r="D11" s="6">
        <v>35.899999999999963</v>
      </c>
      <c r="E11" s="2"/>
      <c r="F11" s="6"/>
      <c r="G11" s="2"/>
      <c r="H11" s="54">
        <v>1029.95</v>
      </c>
      <c r="I11" s="46" t="s">
        <v>29</v>
      </c>
      <c r="J11" s="1"/>
    </row>
    <row r="12" spans="1:10" x14ac:dyDescent="0.25">
      <c r="A12" s="42"/>
      <c r="B12" s="39">
        <v>1806</v>
      </c>
      <c r="C12" s="7">
        <v>16</v>
      </c>
      <c r="D12" s="6">
        <v>34.799999999999898</v>
      </c>
      <c r="E12" s="2"/>
      <c r="F12" s="6"/>
      <c r="G12" s="2"/>
      <c r="H12" s="54">
        <v>1030.31</v>
      </c>
      <c r="I12" s="46" t="s">
        <v>29</v>
      </c>
      <c r="J12" s="1"/>
    </row>
    <row r="13" spans="1:10" ht="15.75" thickBot="1" x14ac:dyDescent="0.3">
      <c r="A13" s="42"/>
      <c r="B13" s="39">
        <v>1820</v>
      </c>
      <c r="C13" s="7">
        <v>16</v>
      </c>
      <c r="D13" s="6">
        <v>36.200000000000117</v>
      </c>
      <c r="E13" s="2"/>
      <c r="F13" s="6"/>
      <c r="G13" s="2"/>
      <c r="H13" s="55">
        <v>1031.8900000000001</v>
      </c>
      <c r="I13" s="46" t="s">
        <v>29</v>
      </c>
      <c r="J13" s="1" t="s">
        <v>30</v>
      </c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16</v>
      </c>
      <c r="H16" s="10">
        <f>AVERAGE(H10:H12)</f>
        <v>1030.06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17</v>
      </c>
      <c r="H17" s="10">
        <f>MAX(H10:H12)-MIN(H10:H12)</f>
        <v>0.38999999999987267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18</v>
      </c>
      <c r="H18" s="44">
        <f>STDEVP(H10:H12)</f>
        <v>0.17720045146663926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19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20</v>
      </c>
      <c r="D22" s="27"/>
      <c r="E22" s="27"/>
      <c r="F22" s="28" t="s">
        <v>9</v>
      </c>
      <c r="G22" s="60" t="s">
        <v>10</v>
      </c>
      <c r="H22" s="60"/>
      <c r="I22" s="61"/>
      <c r="J22" s="1"/>
    </row>
    <row r="23" spans="1:10" ht="15.75" thickBot="1" x14ac:dyDescent="0.3">
      <c r="A23" s="30"/>
      <c r="B23" s="33" t="s">
        <v>11</v>
      </c>
      <c r="C23" s="32"/>
      <c r="D23" s="33" t="s">
        <v>21</v>
      </c>
      <c r="E23" s="32"/>
      <c r="F23" s="33" t="s">
        <v>21</v>
      </c>
      <c r="G23" s="32"/>
      <c r="H23" s="49" t="s">
        <v>21</v>
      </c>
      <c r="I23" s="34" t="s">
        <v>15</v>
      </c>
      <c r="J23" s="1"/>
    </row>
    <row r="24" spans="1:10" x14ac:dyDescent="0.25">
      <c r="A24" s="39"/>
      <c r="B24" s="39">
        <f>B10</f>
        <v>1731</v>
      </c>
      <c r="C24" s="2"/>
      <c r="D24" s="5">
        <v>9062.5844002333579</v>
      </c>
      <c r="E24" s="2"/>
      <c r="F24" s="6"/>
      <c r="G24" s="2"/>
      <c r="H24" s="50">
        <v>-143.19999999999999</v>
      </c>
      <c r="I24" s="7" t="str">
        <f>I10</f>
        <v>MW</v>
      </c>
      <c r="J24" s="1"/>
    </row>
    <row r="25" spans="1:10" x14ac:dyDescent="0.25">
      <c r="A25" s="39"/>
      <c r="B25" s="39">
        <f t="shared" ref="B25" si="0">B11</f>
        <v>1750</v>
      </c>
      <c r="C25" s="2"/>
      <c r="D25" s="5">
        <v>9079.0449444325368</v>
      </c>
      <c r="E25" s="2"/>
      <c r="F25" s="6"/>
      <c r="G25" s="2"/>
      <c r="H25" s="51">
        <v>-143.19999999999999</v>
      </c>
      <c r="I25" s="7" t="str">
        <f t="shared" ref="I25" si="1">I11</f>
        <v>MW</v>
      </c>
      <c r="J25" s="1"/>
    </row>
    <row r="26" spans="1:10" x14ac:dyDescent="0.25">
      <c r="A26" s="39"/>
      <c r="B26" s="39">
        <f>B12</f>
        <v>1806</v>
      </c>
      <c r="C26" s="2"/>
      <c r="D26" s="5">
        <v>9077.9237640176852</v>
      </c>
      <c r="E26" s="2"/>
      <c r="F26" s="6"/>
      <c r="G26" s="2"/>
      <c r="H26" s="51">
        <v>-143.30000000000001</v>
      </c>
      <c r="I26" s="7" t="str">
        <f>I12</f>
        <v>MW</v>
      </c>
      <c r="J26" s="1"/>
    </row>
    <row r="27" spans="1:10" ht="15.75" thickBot="1" x14ac:dyDescent="0.3">
      <c r="A27" s="39"/>
      <c r="B27" s="39">
        <f>B13</f>
        <v>1820</v>
      </c>
      <c r="C27" s="2"/>
      <c r="D27" s="5">
        <v>9084.0051293218112</v>
      </c>
      <c r="E27" s="2"/>
      <c r="F27" s="6"/>
      <c r="G27" s="2"/>
      <c r="H27" s="52">
        <v>-143</v>
      </c>
      <c r="I27" s="7" t="str">
        <f>I13</f>
        <v>MW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16</v>
      </c>
      <c r="H30" s="10">
        <f>AVERAGE(H24:H27)</f>
        <v>-143.17500000000001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17</v>
      </c>
      <c r="H31" s="10">
        <f>MAX(H24:H27)-MIN(H24:H27)</f>
        <v>0.30000000000001137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18</v>
      </c>
      <c r="H32" s="44">
        <f>STDEVP(H24:H27)</f>
        <v>0.1089724735885188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22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20</v>
      </c>
      <c r="D36" s="27"/>
      <c r="E36" s="27"/>
      <c r="F36" s="28" t="s">
        <v>9</v>
      </c>
      <c r="G36" s="60" t="s">
        <v>10</v>
      </c>
      <c r="H36" s="60"/>
      <c r="I36" s="61"/>
      <c r="J36" s="1"/>
    </row>
    <row r="37" spans="1:10" ht="15.75" thickBot="1" x14ac:dyDescent="0.3">
      <c r="A37" s="30"/>
      <c r="B37" s="31" t="s">
        <v>11</v>
      </c>
      <c r="C37" s="32"/>
      <c r="D37" s="33" t="s">
        <v>21</v>
      </c>
      <c r="E37" s="32"/>
      <c r="F37" s="33" t="s">
        <v>21</v>
      </c>
      <c r="G37" s="32"/>
      <c r="H37" s="49" t="s">
        <v>21</v>
      </c>
      <c r="I37" s="34" t="s">
        <v>15</v>
      </c>
      <c r="J37" s="1"/>
    </row>
    <row r="38" spans="1:10" x14ac:dyDescent="0.25">
      <c r="A38" s="39"/>
      <c r="B38" s="39">
        <f>B24</f>
        <v>1731</v>
      </c>
      <c r="C38" s="2"/>
      <c r="D38" s="5">
        <v>56579.171999999999</v>
      </c>
      <c r="E38" s="2"/>
      <c r="F38" s="6"/>
      <c r="G38" s="2"/>
      <c r="H38" s="50">
        <v>22.1</v>
      </c>
      <c r="I38" s="7" t="str">
        <f>I24</f>
        <v>MW</v>
      </c>
      <c r="J38" s="1"/>
    </row>
    <row r="39" spans="1:10" x14ac:dyDescent="0.25">
      <c r="A39" s="39"/>
      <c r="B39" s="39">
        <f t="shared" ref="B39" si="2">B25</f>
        <v>1750</v>
      </c>
      <c r="C39" s="2"/>
      <c r="D39" s="5">
        <v>56576.250999999997</v>
      </c>
      <c r="E39" s="2"/>
      <c r="F39" s="6"/>
      <c r="G39" s="2"/>
      <c r="H39" s="51">
        <v>22.2</v>
      </c>
      <c r="I39" s="7" t="str">
        <f t="shared" ref="I39" si="3">I25</f>
        <v>MW</v>
      </c>
      <c r="J39" s="1"/>
    </row>
    <row r="40" spans="1:10" x14ac:dyDescent="0.25">
      <c r="A40" s="39"/>
      <c r="B40" s="39">
        <f>B12</f>
        <v>1806</v>
      </c>
      <c r="C40" s="2"/>
      <c r="D40" s="5">
        <v>56577.773999999998</v>
      </c>
      <c r="E40" s="2"/>
      <c r="F40" s="6"/>
      <c r="G40" s="2"/>
      <c r="H40" s="51">
        <v>22.2</v>
      </c>
      <c r="I40" s="7" t="str">
        <f>I12</f>
        <v>MW</v>
      </c>
      <c r="J40" s="1"/>
    </row>
    <row r="41" spans="1:10" ht="15.75" thickBot="1" x14ac:dyDescent="0.3">
      <c r="A41" s="39"/>
      <c r="B41" s="39">
        <f>B13</f>
        <v>1820</v>
      </c>
      <c r="C41" s="2"/>
      <c r="D41" s="5">
        <v>56579.381000000001</v>
      </c>
      <c r="E41" s="2"/>
      <c r="F41" s="6"/>
      <c r="G41" s="2"/>
      <c r="H41" s="52">
        <v>22.1</v>
      </c>
      <c r="I41" s="7" t="str">
        <f>I13</f>
        <v>MW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16</v>
      </c>
      <c r="H44" s="10">
        <f>AVERAGE(H38:H41)</f>
        <v>22.15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17</v>
      </c>
      <c r="H45" s="10">
        <f>MAX(H38:H41)-MIN(H38:H41)</f>
        <v>9.9999999999997868E-2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18</v>
      </c>
      <c r="H46" s="44">
        <f>STDEVP(H38:H41)</f>
        <v>4.9999999999998941E-2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23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24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25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26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headerFooter>
    <oddFooter>&amp;C&amp;1#&amp;"Calibri"&amp;10&amp;K000000Schlumberger-Private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9A4AC55DB23B409F9930A45A577CF8" ma:contentTypeVersion="8" ma:contentTypeDescription="Create a new document." ma:contentTypeScope="" ma:versionID="2548d8891cdf269f0d43923b01a69158">
  <xsd:schema xmlns:xsd="http://www.w3.org/2001/XMLSchema" xmlns:xs="http://www.w3.org/2001/XMLSchema" xmlns:p="http://schemas.microsoft.com/office/2006/metadata/properties" xmlns:ns3="fedaa18d-8384-436c-aaa0-67ec6927a806" targetNamespace="http://schemas.microsoft.com/office/2006/metadata/properties" ma:root="true" ma:fieldsID="4958291f9550b5ccb259afc5dc861418" ns3:_="">
    <xsd:import namespace="fedaa18d-8384-436c-aaa0-67ec6927a80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daa18d-8384-436c-aaa0-67ec6927a80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01E9BD1-B2E3-47B3-A4C3-126215111DE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08F1CFD-B7C7-416D-B21C-023331425FBF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edaa18d-8384-436c-aaa0-67ec6927a806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D139187-98A0-4255-83EC-195CC88D627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daa18d-8384-436c-aaa0-67ec6927a8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2020-01-29T22:44:58Z</cp:lastPrinted>
  <dcterms:created xsi:type="dcterms:W3CDTF">2014-06-10T15:39:12Z</dcterms:created>
  <dcterms:modified xsi:type="dcterms:W3CDTF">2020-01-29T22:46:14Z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MWalgamotte@slb.com</vt:lpwstr>
  </property>
  <property fmtid="{D5CDD505-2E9C-101B-9397-08002B2CF9AE}" pid="5" name="MSIP_Label_585f1f62-8d2b-4457-869c-0a13c6549635_SetDate">
    <vt:lpwstr>2019-12-31T17:38:42.4797730Z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89939a6d-564a-4953-bc53-d8214bdeacc9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MWalgamotte@slb.com</vt:lpwstr>
  </property>
  <property fmtid="{D5CDD505-2E9C-101B-9397-08002B2CF9AE}" pid="13" name="MSIP_Label_8bb759f6-5337-4dc5-b19b-e74b6da11f8f_SetDate">
    <vt:lpwstr>2019-12-31T17:38:42.4797730Z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89939a6d-564a-4953-bc53-d8214bdeacc9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  <property fmtid="{D5CDD505-2E9C-101B-9397-08002B2CF9AE}" pid="20" name="ContentTypeId">
    <vt:lpwstr>0x010100D09A4AC55DB23B409F9930A45A577CF8</vt:lpwstr>
  </property>
</Properties>
</file>