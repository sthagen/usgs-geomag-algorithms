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seline\DMI\CMO\"/>
    </mc:Choice>
  </mc:AlternateContent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/>
</workbook>
</file>

<file path=xl/calcChain.xml><?xml version="1.0" encoding="utf-8"?>
<calcChain xmlns="http://schemas.openxmlformats.org/spreadsheetml/2006/main">
  <c r="H46" i="1" l="1"/>
  <c r="H45" i="1"/>
  <c r="H44" i="1"/>
  <c r="H32" i="1"/>
  <c r="H31" i="1"/>
  <c r="H30" i="1"/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18" i="1" l="1"/>
  <c r="H17" i="1"/>
  <c r="H16" i="1"/>
  <c r="I2" i="1"/>
</calcChain>
</file>

<file path=xl/sharedStrings.xml><?xml version="1.0" encoding="utf-8"?>
<sst xmlns="http://schemas.openxmlformats.org/spreadsheetml/2006/main" count="58" uniqueCount="33">
  <si>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</si>
  <si>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</si>
  <si>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</si>
  <si>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</si>
  <si>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</si>
  <si>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</si>
  <si>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</si>
  <si>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</si>
  <si>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</si>
  <si>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</si>
  <si>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</si>
  <si>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</si>
  <si>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</si>
  <si>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</si>
  <si>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</si>
  <si>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</si>
  <si>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</si>
  <si>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</si>
  <si>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</si>
  <si>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</si>
  <si>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</si>
  <si>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</si>
  <si>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</si>
  <si>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</si>
  <si>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</si>
  <si>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</si>
  <si>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</si>
  <si>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</si>
  <si>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</si>
  <si>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KR</t>
  </si>
  <si>
    <t>CMO20152761954.xlsm</t>
  </si>
  <si>
    <t>EWW  10-13-15</t>
  </si>
  <si>
    <t>Rejected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</si>
</sst>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42280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15276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1954</v>
      </c>
      <c r="C10" s="7">
        <v>18</v>
      </c>
      <c r="D10" s="6">
        <v>28.900000000000148</v>
      </c>
      <c r="E10" s="2"/>
      <c r="F10" s="6"/>
      <c r="G10" s="2"/>
      <c r="H10" s="53">
        <v>1127.8900000000001</v>
      </c>
      <c r="I10" s="46" t="s">
        <v>29</v>
      </c>
      <c r="J10" s="1"/>
    </row>
    <row r="11" spans="1:10" x14ac:dyDescent="0.25">
      <c r="A11" s="42"/>
      <c r="B11" s="39">
        <v>2009</v>
      </c>
      <c r="C11" s="7">
        <v>18</v>
      </c>
      <c r="D11" s="6">
        <v>29.099999999999966</v>
      </c>
      <c r="E11" s="2"/>
      <c r="F11" s="6"/>
      <c r="G11" s="2"/>
      <c r="H11" s="54">
        <v>1128.24</v>
      </c>
      <c r="I11" s="46" t="s">
        <v>29</v>
      </c>
      <c r="J11" s="1"/>
    </row>
    <row r="12" spans="1:10" x14ac:dyDescent="0.25">
      <c r="A12" s="42"/>
      <c r="B12" s="39">
        <v>2024</v>
      </c>
      <c r="C12" s="7">
        <v>18</v>
      </c>
      <c r="D12" s="6">
        <v>27.499999999999929</v>
      </c>
      <c r="E12" s="2"/>
      <c r="F12" s="6"/>
      <c r="G12" s="2"/>
      <c r="H12" s="54">
        <v>1127.93</v>
      </c>
      <c r="I12" s="46" t="s">
        <v>29</v>
      </c>
      <c r="J12" s="1"/>
    </row>
    <row r="13" spans="1:10" ht="15.75" thickBot="1" x14ac:dyDescent="0.3">
      <c r="A13" s="42"/>
      <c r="B13" s="39">
        <v>2039</v>
      </c>
      <c r="C13" s="7">
        <v>18</v>
      </c>
      <c r="D13" s="6">
        <v>25.400000000000134</v>
      </c>
      <c r="E13" s="2"/>
      <c r="F13" s="6"/>
      <c r="G13" s="2"/>
      <c r="H13" s="55">
        <v>1128.04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1128.0250000000001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0.34999999999990905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0.13573871960494885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1954</v>
      </c>
      <c r="C24" s="2"/>
      <c r="D24" s="5">
        <v>12562.519719180544</v>
      </c>
      <c r="E24" s="2"/>
      <c r="F24" s="6"/>
      <c r="G24" s="2"/>
      <c r="H24" s="50">
        <v>172.4</v>
      </c>
      <c r="I24" s="7" t="str">
        <f>I10</f>
        <v>KR</v>
      </c>
      <c r="J24" s="1" t="s">
        <v>32</v>
      </c>
    </row>
    <row r="25" spans="1:10" x14ac:dyDescent="0.25">
      <c r="A25" s="39"/>
      <c r="B25" s="39">
        <f t="shared" ref="B25:B27" si="0">B11</f>
        <v>2009</v>
      </c>
      <c r="C25" s="2"/>
      <c r="D25" s="5">
        <v>12553.282734879673</v>
      </c>
      <c r="E25" s="2"/>
      <c r="F25" s="6"/>
      <c r="G25" s="2"/>
      <c r="H25" s="51">
        <v>172.7</v>
      </c>
      <c r="I25" s="7" t="str">
        <f t="shared" ref="I25:I27" si="1">I11</f>
        <v>KR</v>
      </c>
      <c r="J25" s="1"/>
    </row>
    <row r="26" spans="1:10" x14ac:dyDescent="0.25">
      <c r="A26" s="39"/>
      <c r="B26" s="39">
        <f t="shared" si="0"/>
        <v>2024</v>
      </c>
      <c r="C26" s="2"/>
      <c r="D26" s="5">
        <v>12555.136529767966</v>
      </c>
      <c r="E26" s="2"/>
      <c r="F26" s="6"/>
      <c r="G26" s="2"/>
      <c r="H26" s="51">
        <v>172.8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2039</v>
      </c>
      <c r="C27" s="2"/>
      <c r="D27" s="5">
        <v>12554.612075010882</v>
      </c>
      <c r="E27" s="2"/>
      <c r="F27" s="6"/>
      <c r="G27" s="2"/>
      <c r="H27" s="52">
        <v>172.9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AVERAGE(H25:H27)</f>
        <v>172.79999999999998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MAX(H25:H27)-MIN(H25:H27)</f>
        <v>0.20000000000001705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STDEVP(H25:H27)</f>
        <v>8.1649658092779562E-2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1954</v>
      </c>
      <c r="C38" s="2"/>
      <c r="D38" s="5">
        <v>55359.993000000002</v>
      </c>
      <c r="E38" s="2"/>
      <c r="F38" s="6"/>
      <c r="G38" s="2"/>
      <c r="H38" s="50">
        <v>-54.2</v>
      </c>
      <c r="I38" s="7" t="str">
        <f>I24</f>
        <v>KR</v>
      </c>
      <c r="J38" s="1" t="s">
        <v>32</v>
      </c>
    </row>
    <row r="39" spans="1:10" x14ac:dyDescent="0.25">
      <c r="A39" s="39"/>
      <c r="B39" s="39">
        <f t="shared" ref="B39:B41" si="2">B25</f>
        <v>2009</v>
      </c>
      <c r="C39" s="2"/>
      <c r="D39" s="5">
        <v>55359.42</v>
      </c>
      <c r="E39" s="2"/>
      <c r="F39" s="6"/>
      <c r="G39" s="2"/>
      <c r="H39" s="51">
        <v>-54.4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2024</v>
      </c>
      <c r="C40" s="2"/>
      <c r="D40" s="5">
        <v>55364.563000000002</v>
      </c>
      <c r="E40" s="2"/>
      <c r="F40" s="6"/>
      <c r="G40" s="2"/>
      <c r="H40" s="51">
        <v>-54.5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2039</v>
      </c>
      <c r="C41" s="2"/>
      <c r="D41" s="5">
        <v>55362.296999999999</v>
      </c>
      <c r="E41" s="2"/>
      <c r="F41" s="6"/>
      <c r="G41" s="2"/>
      <c r="H41" s="52">
        <v>-54.5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AVERAGE(H39:H41)</f>
        <v>-54.466666666666669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MAX(H39:H41)-MIN(H39:H41)</f>
        <v>0.10000000000000142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STDEVP(H39:H41)</f>
        <v>4.7140452079103841E-2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31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30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2014-06-19T23:12:34Z</cp:lastPrinted>
  <dcterms:created xsi:type="dcterms:W3CDTF">2014-06-10T15:39:12Z</dcterms:created>
  <dcterms:modified xsi:type="dcterms:W3CDTF">2015-11-02T05:27:12Z</dcterms:modified>
</cp:coreProperties>
</file>