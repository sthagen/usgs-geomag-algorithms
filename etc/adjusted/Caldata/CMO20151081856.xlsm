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Baseline\DMI\CMO\"/>
    </mc:Choice>
  </mc:AlternateContent>
  <bookViews>
    <workbookView xWindow="-1020" yWindow="240" windowWidth="18195" windowHeight="11820"/>
  </bookViews>
  <sheets>
    <sheet name="Sheet1" sheetId="1" r:id="rId1"/>
    <sheet name="Sheet2" sheetId="2" r:id="rId2"/>
    <sheet name="Sheet3" sheetId="3" r:id="rId3"/>
  </sheets>
  <functionGroups builtInGroupCount="18"/>
  <definedNames>
    <definedName name="_xlnm.Print_Area" localSheetId="0">Sheet1!$A$1:$J$55</definedName>
  </definedNames>
  <calcPr calcId="152511"/>
</workbook>
</file>

<file path=xl/calcChain.xml><?xml version="1.0" encoding="utf-8"?>
<calcChain xmlns="http://schemas.openxmlformats.org/spreadsheetml/2006/main">
  <c r="I25" i="1" l="1"/>
  <c r="I39" i="1" s="1"/>
  <c r="I26" i="1"/>
  <c r="I40" i="1" s="1"/>
  <c r="I27" i="1"/>
  <c r="I41" i="1" s="1"/>
  <c r="I24" i="1"/>
  <c r="I38" i="1" s="1"/>
  <c r="B25" i="1" l="1"/>
  <c r="B39" i="1" s="1"/>
  <c r="B26" i="1"/>
  <c r="B40" i="1" s="1"/>
  <c r="B27" i="1"/>
  <c r="B41" i="1" s="1"/>
  <c r="B24" i="1"/>
  <c r="B38" i="1" s="1"/>
  <c r="H46" i="1" l="1"/>
  <c r="H45" i="1"/>
  <c r="H44" i="1"/>
  <c r="H32" i="1"/>
  <c r="H31" i="1"/>
  <c r="H30" i="1"/>
  <c r="H18" i="1"/>
  <c r="H17" i="1"/>
  <c r="H16" i="1"/>
  <c r="I2" i="1"/>
</calcChain>
</file>

<file path=xl/sharedStrings.xml><?xml version="1.0" encoding="utf-8"?>
<sst xmlns="http://schemas.openxmlformats.org/spreadsheetml/2006/main" count="56" uniqueCount="32">
  <si>
    <t>PCDCP  BASELINE SUMMARY</t>
  </si>
  <si>
    <t>Observatory</t>
  </si>
  <si>
    <t>YearDay</t>
  </si>
  <si>
    <t>Instrument</t>
  </si>
  <si>
    <t>Pier</t>
  </si>
  <si>
    <t>Main</t>
  </si>
  <si>
    <t>Declination</t>
  </si>
  <si>
    <t>Absolute Declination</t>
  </si>
  <si>
    <t>Ordinate</t>
  </si>
  <si>
    <t>Baseline Values</t>
  </si>
  <si>
    <t>Time</t>
  </si>
  <si>
    <t>Deg.</t>
  </si>
  <si>
    <t>Min.</t>
  </si>
  <si>
    <t>min</t>
  </si>
  <si>
    <t>Observer</t>
  </si>
  <si>
    <t>Mean</t>
  </si>
  <si>
    <t>Range</t>
  </si>
  <si>
    <t>Std Dev.</t>
  </si>
  <si>
    <t>Horizontal Intensity</t>
  </si>
  <si>
    <t>Absolute Value</t>
  </si>
  <si>
    <t>nT</t>
  </si>
  <si>
    <t>Vertical Intensity</t>
  </si>
  <si>
    <t>Computations Checked by:</t>
  </si>
  <si>
    <t xml:space="preserve">Name of Datafile : </t>
  </si>
  <si>
    <t>Remarks:</t>
  </si>
  <si>
    <t xml:space="preserve"> </t>
  </si>
  <si>
    <t>Date</t>
  </si>
  <si>
    <t>College</t>
  </si>
  <si>
    <t>Pier Correction</t>
  </si>
  <si>
    <t>KR</t>
  </si>
  <si>
    <t>CMO20151081856.xlsm</t>
  </si>
  <si>
    <t>EWW  4-29-2015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</si>
</sst>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5" formatCode="&quot;$&quot;#,##0_);\(&quot;$&quot;#,##0\)"/>
    <numFmt numFmtId="164" formatCode="0.0"/>
    <numFmt numFmtId="165" formatCode="00000"/>
    <numFmt numFmtId="166" formatCode="0000"/>
    <numFmt numFmtId="167" formatCode="000000"/>
    <numFmt numFmtId="168" formatCode="0.0&quot; nT&quot;"/>
  </numFmts>
  <fonts count="9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8"/>
      <name val="Arial"/>
      <family val="2"/>
    </font>
    <font>
      <b/>
      <sz val="12"/>
      <name val="Arial"/>
      <family val="2"/>
    </font>
    <font>
      <b/>
      <sz val="10"/>
      <name val="Arial"/>
      <family val="2"/>
    </font>
    <font>
      <sz val="12"/>
      <name val="Arial"/>
      <family val="2"/>
    </font>
    <font>
      <sz val="8"/>
      <name val="Arial"/>
      <family val="2"/>
    </font>
    <font>
      <b/>
      <sz val="12"/>
      <color indexed="10"/>
      <name val="Arial"/>
      <family val="2"/>
    </font>
    <font>
      <b/>
      <sz val="11"/>
      <name val="Arial"/>
      <family val="2"/>
    </font>
  </fonts>
  <fills count="2">
    <fill>
      <patternFill patternType="none"/>
    </fill>
    <fill>
      <patternFill patternType="gray125"/>
    </fill>
  </fills>
  <borders count="17">
    <border>
      <left/>
      <right/>
      <top/>
      <bottom/>
      <diagonal/>
    </border>
    <border>
      <left/>
      <right/>
      <top style="double">
        <color indexed="8"/>
      </top>
      <bottom/>
      <diagonal/>
    </border>
    <border>
      <left style="medium">
        <color indexed="8"/>
      </left>
      <right/>
      <top style="medium">
        <color indexed="8"/>
      </top>
      <bottom/>
      <diagonal/>
    </border>
    <border>
      <left/>
      <right/>
      <top style="medium">
        <color indexed="8"/>
      </top>
      <bottom/>
      <diagonal/>
    </border>
    <border>
      <left/>
      <right style="medium">
        <color indexed="8"/>
      </right>
      <top style="medium">
        <color indexed="8"/>
      </top>
      <bottom/>
      <diagonal/>
    </border>
    <border>
      <left style="medium">
        <color indexed="8"/>
      </left>
      <right/>
      <top/>
      <bottom/>
      <diagonal/>
    </border>
    <border>
      <left/>
      <right style="medium">
        <color indexed="8"/>
      </right>
      <top/>
      <bottom/>
      <diagonal/>
    </border>
    <border>
      <left style="medium">
        <color indexed="8"/>
      </left>
      <right/>
      <top/>
      <bottom style="medium">
        <color indexed="8"/>
      </bottom>
      <diagonal/>
    </border>
    <border>
      <left/>
      <right/>
      <top/>
      <bottom style="medium">
        <color indexed="8"/>
      </bottom>
      <diagonal/>
    </border>
    <border>
      <left/>
      <right style="medium">
        <color indexed="8"/>
      </right>
      <top/>
      <bottom style="medium">
        <color indexed="8"/>
      </bottom>
      <diagonal/>
    </border>
    <border>
      <left style="medium">
        <color indexed="8"/>
      </left>
      <right/>
      <top style="medium">
        <color indexed="8"/>
      </top>
      <bottom style="medium">
        <color indexed="8"/>
      </bottom>
      <diagonal/>
    </border>
    <border>
      <left/>
      <right/>
      <top style="medium">
        <color indexed="8"/>
      </top>
      <bottom style="medium">
        <color indexed="8"/>
      </bottom>
      <diagonal/>
    </border>
    <border>
      <left/>
      <right style="medium">
        <color indexed="8"/>
      </right>
      <top style="medium">
        <color indexed="8"/>
      </top>
      <bottom style="medium">
        <color indexed="8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9">
    <xf numFmtId="0" fontId="0" fillId="0" borderId="0"/>
    <xf numFmtId="0" fontId="1" fillId="0" borderId="0">
      <alignment vertical="top"/>
    </xf>
    <xf numFmtId="3" fontId="1" fillId="0" borderId="0" applyFont="0" applyFill="0" applyBorder="0" applyAlignment="0" applyProtection="0"/>
    <xf numFmtId="5" fontId="1" fillId="0" borderId="0" applyFont="0" applyFill="0" applyBorder="0" applyAlignment="0" applyProtection="0"/>
    <xf numFmtId="0" fontId="1" fillId="0" borderId="0" applyFont="0" applyFill="0" applyBorder="0" applyAlignment="0" applyProtection="0"/>
    <xf numFmtId="2" fontId="1" fillId="0" borderId="0" applyFon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1" fillId="0" borderId="1" applyNumberFormat="0" applyFont="0" applyFill="0" applyAlignment="0" applyProtection="0"/>
  </cellStyleXfs>
  <cellXfs count="62">
    <xf numFmtId="0" fontId="0" fillId="0" borderId="0" xfId="0"/>
    <xf numFmtId="0" fontId="0" fillId="0" borderId="0" xfId="0"/>
    <xf numFmtId="0" fontId="1" fillId="0" borderId="0" xfId="1" applyAlignment="1"/>
    <xf numFmtId="0" fontId="4" fillId="0" borderId="0" xfId="1" applyFont="1" applyAlignment="1"/>
    <xf numFmtId="0" fontId="3" fillId="0" borderId="0" xfId="1" applyFont="1" applyAlignment="1"/>
    <xf numFmtId="2" fontId="1" fillId="0" borderId="0" xfId="1" applyNumberFormat="1" applyAlignment="1"/>
    <xf numFmtId="2" fontId="1" fillId="0" borderId="0" xfId="1" applyNumberFormat="1" applyAlignment="1">
      <alignment horizontal="center"/>
    </xf>
    <xf numFmtId="0" fontId="1" fillId="0" borderId="0" xfId="1" applyAlignment="1">
      <alignment horizontal="center"/>
    </xf>
    <xf numFmtId="0" fontId="7" fillId="0" borderId="0" xfId="1" applyFont="1" applyAlignment="1"/>
    <xf numFmtId="0" fontId="4" fillId="0" borderId="0" xfId="1" applyFont="1" applyAlignment="1">
      <alignment horizontal="left"/>
    </xf>
    <xf numFmtId="2" fontId="1" fillId="0" borderId="0" xfId="1" applyNumberFormat="1" applyAlignment="1" applyProtection="1">
      <alignment horizontal="center"/>
      <protection locked="0"/>
    </xf>
    <xf numFmtId="0" fontId="4" fillId="0" borderId="0" xfId="1" applyFont="1" applyAlignment="1">
      <alignment horizontal="center"/>
    </xf>
    <xf numFmtId="0" fontId="1" fillId="0" borderId="0" xfId="1" applyBorder="1" applyAlignment="1" applyProtection="1">
      <protection locked="0"/>
    </xf>
    <xf numFmtId="0" fontId="4" fillId="0" borderId="2" xfId="1" applyFont="1" applyBorder="1" applyAlignment="1" applyProtection="1">
      <protection locked="0"/>
    </xf>
    <xf numFmtId="0" fontId="1" fillId="0" borderId="3" xfId="1" applyBorder="1" applyAlignment="1" applyProtection="1">
      <protection locked="0"/>
    </xf>
    <xf numFmtId="0" fontId="1" fillId="0" borderId="4" xfId="1" applyBorder="1" applyAlignment="1" applyProtection="1">
      <protection locked="0"/>
    </xf>
    <xf numFmtId="0" fontId="1" fillId="0" borderId="5" xfId="1" applyBorder="1" applyAlignment="1" applyProtection="1">
      <protection locked="0"/>
    </xf>
    <xf numFmtId="0" fontId="1" fillId="0" borderId="6" xfId="1" applyBorder="1" applyAlignment="1" applyProtection="1">
      <protection locked="0"/>
    </xf>
    <xf numFmtId="0" fontId="1" fillId="0" borderId="7" xfId="1" applyBorder="1" applyAlignment="1" applyProtection="1">
      <protection locked="0"/>
    </xf>
    <xf numFmtId="0" fontId="1" fillId="0" borderId="8" xfId="1" applyBorder="1" applyAlignment="1" applyProtection="1">
      <protection locked="0"/>
    </xf>
    <xf numFmtId="0" fontId="1" fillId="0" borderId="9" xfId="1" applyBorder="1" applyAlignment="1" applyProtection="1">
      <protection locked="0"/>
    </xf>
    <xf numFmtId="0" fontId="1" fillId="0" borderId="10" xfId="1" applyBorder="1" applyAlignment="1">
      <alignment horizontal="centerContinuous"/>
    </xf>
    <xf numFmtId="0" fontId="4" fillId="0" borderId="10" xfId="1" applyFont="1" applyBorder="1" applyAlignment="1">
      <alignment horizontal="centerContinuous"/>
    </xf>
    <xf numFmtId="0" fontId="1" fillId="0" borderId="11" xfId="1" applyBorder="1" applyAlignment="1">
      <alignment horizontal="centerContinuous"/>
    </xf>
    <xf numFmtId="0" fontId="5" fillId="0" borderId="11" xfId="1" applyFont="1" applyBorder="1" applyAlignment="1" applyProtection="1">
      <protection locked="0"/>
    </xf>
    <xf numFmtId="0" fontId="1" fillId="0" borderId="12" xfId="1" applyBorder="1" applyAlignment="1" applyProtection="1">
      <protection locked="0"/>
    </xf>
    <xf numFmtId="0" fontId="1" fillId="0" borderId="2" xfId="1" applyBorder="1" applyAlignment="1"/>
    <xf numFmtId="0" fontId="1" fillId="0" borderId="3" xfId="1" applyBorder="1" applyAlignment="1"/>
    <xf numFmtId="0" fontId="4" fillId="0" borderId="3" xfId="1" applyFont="1" applyBorder="1" applyAlignment="1"/>
    <xf numFmtId="0" fontId="1" fillId="0" borderId="4" xfId="1" applyBorder="1" applyAlignment="1"/>
    <xf numFmtId="0" fontId="4" fillId="0" borderId="7" xfId="1" applyFont="1" applyBorder="1" applyAlignment="1"/>
    <xf numFmtId="0" fontId="4" fillId="0" borderId="8" xfId="1" applyFont="1" applyBorder="1" applyAlignment="1"/>
    <xf numFmtId="0" fontId="1" fillId="0" borderId="8" xfId="1" applyBorder="1" applyAlignment="1"/>
    <xf numFmtId="0" fontId="4" fillId="0" borderId="8" xfId="1" applyFont="1" applyBorder="1" applyAlignment="1">
      <alignment horizontal="center"/>
    </xf>
    <xf numFmtId="0" fontId="4" fillId="0" borderId="9" xfId="1" applyFont="1" applyBorder="1" applyAlignment="1">
      <alignment horizontal="center"/>
    </xf>
    <xf numFmtId="0" fontId="4" fillId="0" borderId="2" xfId="1" applyFont="1" applyBorder="1" applyAlignment="1"/>
    <xf numFmtId="0" fontId="6" fillId="0" borderId="0" xfId="1" applyFont="1" applyAlignment="1"/>
    <xf numFmtId="165" fontId="4" fillId="0" borderId="0" xfId="1" applyNumberFormat="1" applyFont="1" applyAlignment="1">
      <alignment horizontal="center"/>
    </xf>
    <xf numFmtId="0" fontId="1" fillId="0" borderId="13" xfId="1" applyBorder="1" applyAlignment="1"/>
    <xf numFmtId="166" fontId="1" fillId="0" borderId="0" xfId="1" applyNumberFormat="1" applyAlignment="1">
      <alignment horizontal="center"/>
    </xf>
    <xf numFmtId="0" fontId="1" fillId="0" borderId="11" xfId="1" applyFill="1" applyBorder="1" applyAlignment="1" applyProtection="1">
      <alignment horizontal="centerContinuous"/>
      <protection locked="0"/>
    </xf>
    <xf numFmtId="0" fontId="1" fillId="0" borderId="12" xfId="1" applyFill="1" applyBorder="1" applyAlignment="1" applyProtection="1">
      <alignment horizontal="centerContinuous"/>
      <protection locked="0"/>
    </xf>
    <xf numFmtId="167" fontId="1" fillId="0" borderId="0" xfId="1" applyNumberFormat="1" applyAlignment="1">
      <alignment horizontal="center"/>
    </xf>
    <xf numFmtId="166" fontId="4" fillId="0" borderId="0" xfId="1" applyNumberFormat="1" applyFont="1" applyAlignment="1"/>
    <xf numFmtId="2" fontId="1" fillId="0" borderId="0" xfId="1" applyNumberFormat="1" applyFont="1" applyAlignment="1" applyProtection="1">
      <alignment horizontal="center"/>
      <protection locked="0"/>
    </xf>
    <xf numFmtId="0" fontId="4" fillId="0" borderId="11" xfId="1" applyFont="1" applyBorder="1" applyAlignment="1" applyProtection="1">
      <alignment horizontal="left"/>
      <protection locked="0"/>
    </xf>
    <xf numFmtId="0" fontId="1" fillId="0" borderId="0" xfId="1" applyFont="1" applyAlignment="1">
      <alignment horizontal="center"/>
    </xf>
    <xf numFmtId="0" fontId="1" fillId="0" borderId="10" xfId="1" applyFont="1" applyBorder="1" applyAlignment="1" applyProtection="1">
      <protection locked="0"/>
    </xf>
    <xf numFmtId="0" fontId="1" fillId="0" borderId="0" xfId="1" applyFont="1" applyBorder="1" applyAlignment="1" applyProtection="1">
      <protection locked="0"/>
    </xf>
    <xf numFmtId="0" fontId="4" fillId="0" borderId="0" xfId="1" applyFont="1" applyBorder="1" applyAlignment="1">
      <alignment horizontal="center"/>
    </xf>
    <xf numFmtId="164" fontId="1" fillId="0" borderId="14" xfId="1" applyNumberFormat="1" applyBorder="1" applyAlignment="1">
      <alignment horizontal="center"/>
    </xf>
    <xf numFmtId="164" fontId="1" fillId="0" borderId="15" xfId="1" applyNumberFormat="1" applyBorder="1" applyAlignment="1">
      <alignment horizontal="center"/>
    </xf>
    <xf numFmtId="164" fontId="1" fillId="0" borderId="16" xfId="1" applyNumberFormat="1" applyBorder="1" applyAlignment="1">
      <alignment horizontal="center"/>
    </xf>
    <xf numFmtId="2" fontId="1" fillId="0" borderId="14" xfId="1" applyNumberFormat="1" applyBorder="1" applyAlignment="1">
      <alignment horizontal="center"/>
    </xf>
    <xf numFmtId="2" fontId="1" fillId="0" borderId="15" xfId="1" applyNumberFormat="1" applyBorder="1" applyAlignment="1">
      <alignment horizontal="center"/>
    </xf>
    <xf numFmtId="2" fontId="1" fillId="0" borderId="16" xfId="1" applyNumberFormat="1" applyBorder="1" applyAlignment="1">
      <alignment horizontal="center"/>
    </xf>
    <xf numFmtId="14" fontId="4" fillId="0" borderId="0" xfId="1" applyNumberFormat="1" applyFont="1" applyAlignment="1">
      <alignment horizontal="center"/>
    </xf>
    <xf numFmtId="0" fontId="8" fillId="0" borderId="0" xfId="1" applyFont="1" applyAlignment="1"/>
    <xf numFmtId="165" fontId="1" fillId="0" borderId="10" xfId="1" applyNumberFormat="1" applyFill="1" applyBorder="1" applyAlignment="1" applyProtection="1">
      <alignment horizontal="centerContinuous"/>
    </xf>
    <xf numFmtId="168" fontId="1" fillId="0" borderId="0" xfId="1" applyNumberFormat="1" applyAlignment="1"/>
    <xf numFmtId="0" fontId="4" fillId="0" borderId="3" xfId="1" applyFont="1" applyBorder="1" applyAlignment="1">
      <alignment horizontal="center"/>
    </xf>
    <xf numFmtId="0" fontId="4" fillId="0" borderId="4" xfId="1" applyFont="1" applyBorder="1" applyAlignment="1">
      <alignment horizontal="center"/>
    </xf>
  </cellXfs>
  <cellStyles count="9">
    <cellStyle name="Comma0" xfId="2"/>
    <cellStyle name="Currency0" xfId="3"/>
    <cellStyle name="Date" xfId="4"/>
    <cellStyle name="Fixed" xfId="5"/>
    <cellStyle name="Heading 1 2" xfId="6"/>
    <cellStyle name="Heading 2 2" xfId="7"/>
    <cellStyle name="Normal" xfId="0" builtinId="0"/>
    <cellStyle name="Normal 2" xfId="1"/>
    <cellStyle name="Total 2" xf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9525</xdr:colOff>
      <xdr:row>0</xdr:row>
      <xdr:rowOff>9525</xdr:rowOff>
    </xdr:from>
    <xdr:to>
      <xdr:col>13</xdr:col>
      <xdr:colOff>0</xdr:colOff>
      <xdr:row>1</xdr:row>
      <xdr:rowOff>180975</xdr:rowOff>
    </xdr:to>
    <xdr:sp macro="[0]!AllWorkbooks" textlink="">
      <xdr:nvSpPr>
        <xdr:cNvPr id="2" name="Rectangle 1"/>
        <xdr:cNvSpPr/>
      </xdr:nvSpPr>
      <xdr:spPr>
        <a:xfrm>
          <a:off x="6696075" y="9525"/>
          <a:ext cx="1209675" cy="3714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Fill Values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J53"/>
  <sheetViews>
    <sheetView tabSelected="1" workbookViewId="0"/>
  </sheetViews>
  <sheetFormatPr defaultRowHeight="15" x14ac:dyDescent="0.25"/>
  <cols>
    <col min="9" max="9" width="8.85546875" customWidth="1"/>
  </cols>
  <sheetData>
    <row r="1" spans="1:10" ht="15.75" x14ac:dyDescent="0.25">
      <c r="A1" s="36"/>
      <c r="B1" s="4"/>
      <c r="C1" s="4" t="s">
        <v>0</v>
      </c>
      <c r="D1" s="4"/>
      <c r="E1" s="4"/>
      <c r="F1" s="4"/>
      <c r="G1" s="2"/>
      <c r="H1" s="57" t="s">
        <v>26</v>
      </c>
      <c r="I1" s="56">
        <v>42112</v>
      </c>
      <c r="J1" s="1"/>
    </row>
    <row r="2" spans="1:10" x14ac:dyDescent="0.25">
      <c r="A2" s="2"/>
      <c r="B2" s="2"/>
      <c r="C2" s="9" t="s">
        <v>27</v>
      </c>
      <c r="D2" s="2"/>
      <c r="E2" s="3" t="s">
        <v>1</v>
      </c>
      <c r="F2" s="2"/>
      <c r="G2" s="2"/>
      <c r="H2" s="3" t="s">
        <v>2</v>
      </c>
      <c r="I2" s="37" t="str">
        <f>calcyjd(I1)</f>
        <v>15108</v>
      </c>
      <c r="J2" s="1"/>
    </row>
    <row r="3" spans="1:10" x14ac:dyDescent="0.25">
      <c r="A3" s="3" t="s">
        <v>3</v>
      </c>
      <c r="B3" s="11">
        <v>200803</v>
      </c>
      <c r="C3" s="43">
        <v>143</v>
      </c>
      <c r="D3" s="2"/>
      <c r="E3" s="2"/>
      <c r="F3" s="2"/>
      <c r="G3" s="2"/>
      <c r="H3" s="2"/>
      <c r="I3" s="2"/>
      <c r="J3" s="1"/>
    </row>
    <row r="4" spans="1:10" x14ac:dyDescent="0.25">
      <c r="A4" s="3" t="s">
        <v>4</v>
      </c>
      <c r="B4" s="11" t="s">
        <v>5</v>
      </c>
      <c r="C4" s="2"/>
      <c r="E4" s="2"/>
      <c r="F4" s="2"/>
      <c r="G4" s="2"/>
      <c r="H4" s="2"/>
      <c r="I4" s="2"/>
      <c r="J4" s="1"/>
    </row>
    <row r="5" spans="1:10" s="1" customFormat="1" ht="15.75" x14ac:dyDescent="0.25">
      <c r="A5" s="3" t="s">
        <v>28</v>
      </c>
      <c r="B5" s="11"/>
      <c r="C5" s="59">
        <v>10.5</v>
      </c>
      <c r="D5" s="8"/>
      <c r="E5" s="2"/>
      <c r="F5" s="2"/>
      <c r="G5" s="2"/>
      <c r="H5" s="2"/>
      <c r="I5" s="2"/>
    </row>
    <row r="6" spans="1:10" s="1" customFormat="1" ht="15.75" x14ac:dyDescent="0.25">
      <c r="A6" s="3"/>
      <c r="B6" s="11"/>
      <c r="C6" s="2"/>
      <c r="D6" s="8" t="s">
        <v>6</v>
      </c>
      <c r="E6" s="2"/>
      <c r="F6" s="2"/>
      <c r="G6" s="2"/>
      <c r="H6" s="2"/>
      <c r="I6" s="2"/>
    </row>
    <row r="7" spans="1:10" ht="15.75" thickBot="1" x14ac:dyDescent="0.3">
      <c r="A7" s="2"/>
      <c r="B7" s="2"/>
      <c r="C7" s="2"/>
      <c r="D7" s="2"/>
      <c r="E7" s="2"/>
      <c r="F7" s="2"/>
      <c r="G7" s="2"/>
      <c r="H7" s="2"/>
      <c r="I7" s="2"/>
      <c r="J7" s="1"/>
    </row>
    <row r="8" spans="1:10" x14ac:dyDescent="0.25">
      <c r="A8" s="35"/>
      <c r="B8" s="28"/>
      <c r="C8" s="28" t="s">
        <v>7</v>
      </c>
      <c r="D8" s="28"/>
      <c r="E8" s="28"/>
      <c r="F8" s="28" t="s">
        <v>8</v>
      </c>
      <c r="G8" s="60" t="s">
        <v>9</v>
      </c>
      <c r="H8" s="60"/>
      <c r="I8" s="29"/>
      <c r="J8" s="1"/>
    </row>
    <row r="9" spans="1:10" ht="15.75" thickBot="1" x14ac:dyDescent="0.3">
      <c r="A9" s="30"/>
      <c r="B9" s="33" t="s">
        <v>10</v>
      </c>
      <c r="C9" s="33" t="s">
        <v>11</v>
      </c>
      <c r="D9" s="33" t="s">
        <v>12</v>
      </c>
      <c r="E9" s="31"/>
      <c r="F9" s="33" t="s">
        <v>13</v>
      </c>
      <c r="G9" s="38"/>
      <c r="H9" s="49" t="s">
        <v>12</v>
      </c>
      <c r="I9" s="34" t="s">
        <v>14</v>
      </c>
      <c r="J9" s="1"/>
    </row>
    <row r="10" spans="1:10" x14ac:dyDescent="0.25">
      <c r="A10" s="42"/>
      <c r="B10" s="39">
        <v>1856</v>
      </c>
      <c r="C10" s="7">
        <v>18</v>
      </c>
      <c r="D10" s="6">
        <v>49.799999999999898</v>
      </c>
      <c r="E10" s="2"/>
      <c r="F10" s="6"/>
      <c r="G10" s="2"/>
      <c r="H10" s="53">
        <v>1128.54</v>
      </c>
      <c r="I10" s="46" t="s">
        <v>29</v>
      </c>
      <c r="J10" s="1"/>
    </row>
    <row r="11" spans="1:10" x14ac:dyDescent="0.25">
      <c r="A11" s="42"/>
      <c r="B11" s="39">
        <v>1911</v>
      </c>
      <c r="C11" s="7">
        <v>18</v>
      </c>
      <c r="D11" s="6">
        <v>48.000000000000043</v>
      </c>
      <c r="E11" s="2"/>
      <c r="F11" s="6"/>
      <c r="G11" s="2"/>
      <c r="H11" s="54">
        <v>1128.33</v>
      </c>
      <c r="I11" s="46" t="s">
        <v>29</v>
      </c>
      <c r="J11" s="1"/>
    </row>
    <row r="12" spans="1:10" x14ac:dyDescent="0.25">
      <c r="A12" s="42"/>
      <c r="B12" s="39">
        <v>1925</v>
      </c>
      <c r="C12" s="7">
        <v>18</v>
      </c>
      <c r="D12" s="6">
        <v>48.000000000000043</v>
      </c>
      <c r="E12" s="2"/>
      <c r="F12" s="6"/>
      <c r="G12" s="2"/>
      <c r="H12" s="54">
        <v>1128.3599999999999</v>
      </c>
      <c r="I12" s="46" t="s">
        <v>29</v>
      </c>
      <c r="J12" s="1"/>
    </row>
    <row r="13" spans="1:10" ht="15.75" thickBot="1" x14ac:dyDescent="0.3">
      <c r="A13" s="42"/>
      <c r="B13" s="39">
        <v>1940</v>
      </c>
      <c r="C13" s="7">
        <v>18</v>
      </c>
      <c r="D13" s="6">
        <v>40.700000000000074</v>
      </c>
      <c r="E13" s="2"/>
      <c r="F13" s="6"/>
      <c r="G13" s="2"/>
      <c r="H13" s="55">
        <v>1128.55</v>
      </c>
      <c r="I13" s="46" t="s">
        <v>29</v>
      </c>
      <c r="J13" s="1"/>
    </row>
    <row r="14" spans="1:10" x14ac:dyDescent="0.25">
      <c r="A14" s="2"/>
      <c r="B14" s="2"/>
      <c r="C14" s="2"/>
      <c r="D14" s="2"/>
      <c r="E14" s="2"/>
      <c r="F14" s="2"/>
      <c r="G14" s="2"/>
      <c r="H14" s="2"/>
      <c r="I14" s="2"/>
      <c r="J14" s="1"/>
    </row>
    <row r="15" spans="1:10" x14ac:dyDescent="0.25">
      <c r="A15" s="2"/>
      <c r="B15" s="2"/>
      <c r="C15" s="2"/>
      <c r="D15" s="2"/>
      <c r="E15" s="2"/>
      <c r="F15" s="2"/>
      <c r="G15" s="2"/>
      <c r="H15" s="2"/>
      <c r="I15" s="2"/>
      <c r="J15" s="1"/>
    </row>
    <row r="16" spans="1:10" x14ac:dyDescent="0.25">
      <c r="A16" s="2"/>
      <c r="B16" s="2"/>
      <c r="C16" s="2"/>
      <c r="D16" s="2"/>
      <c r="E16" s="2"/>
      <c r="F16" s="2"/>
      <c r="G16" s="3" t="s">
        <v>15</v>
      </c>
      <c r="H16" s="10">
        <f>AVERAGE(H10:H13)</f>
        <v>1128.4449999999999</v>
      </c>
      <c r="I16" s="2"/>
      <c r="J16" s="1"/>
    </row>
    <row r="17" spans="1:10" x14ac:dyDescent="0.25">
      <c r="A17" s="2"/>
      <c r="B17" s="2"/>
      <c r="C17" s="2"/>
      <c r="D17" s="2"/>
      <c r="E17" s="2"/>
      <c r="F17" s="2"/>
      <c r="G17" s="3" t="s">
        <v>16</v>
      </c>
      <c r="H17" s="10">
        <f>MAX(H10:H13)-MIN(H10:H13)</f>
        <v>0.22000000000002728</v>
      </c>
      <c r="I17" s="2"/>
      <c r="J17" s="1"/>
    </row>
    <row r="18" spans="1:10" x14ac:dyDescent="0.25">
      <c r="A18" s="2"/>
      <c r="B18" s="2"/>
      <c r="C18" s="2"/>
      <c r="D18" s="2"/>
      <c r="E18" s="2"/>
      <c r="F18" s="2"/>
      <c r="G18" s="3" t="s">
        <v>17</v>
      </c>
      <c r="H18" s="44">
        <f>STDEVP(H10:H13)</f>
        <v>0.100623058987512</v>
      </c>
      <c r="I18" s="2"/>
      <c r="J18" s="1"/>
    </row>
    <row r="19" spans="1:10" x14ac:dyDescent="0.25">
      <c r="A19" s="2"/>
      <c r="B19" s="2"/>
      <c r="C19" s="2"/>
      <c r="D19" s="2"/>
      <c r="E19" s="2"/>
      <c r="F19" s="2"/>
      <c r="G19" s="2"/>
      <c r="H19" s="2"/>
      <c r="I19" s="2"/>
      <c r="J19" s="1"/>
    </row>
    <row r="20" spans="1:10" ht="15.75" x14ac:dyDescent="0.25">
      <c r="A20" s="2"/>
      <c r="B20" s="2"/>
      <c r="C20" s="2"/>
      <c r="D20" s="8" t="s">
        <v>18</v>
      </c>
      <c r="E20" s="2"/>
      <c r="F20" s="2"/>
      <c r="G20" s="2"/>
      <c r="H20" s="2"/>
      <c r="I20" s="2"/>
      <c r="J20" s="1"/>
    </row>
    <row r="21" spans="1:10" ht="15.75" thickBot="1" x14ac:dyDescent="0.3">
      <c r="A21" s="2"/>
      <c r="B21" s="2"/>
      <c r="C21" s="2"/>
      <c r="D21" s="2"/>
      <c r="E21" s="2"/>
      <c r="F21" s="2"/>
      <c r="G21" s="2"/>
      <c r="H21" s="2"/>
      <c r="I21" s="2"/>
      <c r="J21" s="1"/>
    </row>
    <row r="22" spans="1:10" x14ac:dyDescent="0.25">
      <c r="A22" s="26"/>
      <c r="B22" s="27"/>
      <c r="C22" s="28" t="s">
        <v>19</v>
      </c>
      <c r="D22" s="27"/>
      <c r="E22" s="27"/>
      <c r="F22" s="28" t="s">
        <v>8</v>
      </c>
      <c r="G22" s="60" t="s">
        <v>9</v>
      </c>
      <c r="H22" s="60"/>
      <c r="I22" s="61"/>
      <c r="J22" s="1"/>
    </row>
    <row r="23" spans="1:10" ht="15.75" thickBot="1" x14ac:dyDescent="0.3">
      <c r="A23" s="30"/>
      <c r="B23" s="33" t="s">
        <v>10</v>
      </c>
      <c r="C23" s="32"/>
      <c r="D23" s="33" t="s">
        <v>20</v>
      </c>
      <c r="E23" s="32"/>
      <c r="F23" s="33" t="s">
        <v>20</v>
      </c>
      <c r="G23" s="32"/>
      <c r="H23" s="49" t="s">
        <v>20</v>
      </c>
      <c r="I23" s="34" t="s">
        <v>14</v>
      </c>
      <c r="J23" s="1"/>
    </row>
    <row r="24" spans="1:10" x14ac:dyDescent="0.25">
      <c r="A24" s="39"/>
      <c r="B24" s="39">
        <f>B10</f>
        <v>1856</v>
      </c>
      <c r="C24" s="2"/>
      <c r="D24" s="5">
        <v>12487.13180364334</v>
      </c>
      <c r="E24" s="2"/>
      <c r="F24" s="6"/>
      <c r="G24" s="2"/>
      <c r="H24" s="50">
        <v>175.4</v>
      </c>
      <c r="I24" s="7" t="str">
        <f>I10</f>
        <v>KR</v>
      </c>
      <c r="J24" s="1"/>
    </row>
    <row r="25" spans="1:10" x14ac:dyDescent="0.25">
      <c r="A25" s="39"/>
      <c r="B25" s="39">
        <f t="shared" ref="B25:B27" si="0">B11</f>
        <v>1911</v>
      </c>
      <c r="C25" s="2"/>
      <c r="D25" s="5">
        <v>12505.570058537915</v>
      </c>
      <c r="E25" s="2"/>
      <c r="F25" s="6"/>
      <c r="G25" s="2"/>
      <c r="H25" s="51">
        <v>175.5</v>
      </c>
      <c r="I25" s="7" t="str">
        <f t="shared" ref="I25:I27" si="1">I11</f>
        <v>KR</v>
      </c>
      <c r="J25" s="1"/>
    </row>
    <row r="26" spans="1:10" x14ac:dyDescent="0.25">
      <c r="A26" s="39"/>
      <c r="B26" s="39">
        <f t="shared" si="0"/>
        <v>1925</v>
      </c>
      <c r="C26" s="2"/>
      <c r="D26" s="5">
        <v>12502.437066447885</v>
      </c>
      <c r="E26" s="2"/>
      <c r="F26" s="6"/>
      <c r="G26" s="2"/>
      <c r="H26" s="51">
        <v>175.3</v>
      </c>
      <c r="I26" s="7" t="str">
        <f t="shared" si="1"/>
        <v>KR</v>
      </c>
      <c r="J26" s="1"/>
    </row>
    <row r="27" spans="1:10" ht="15.75" thickBot="1" x14ac:dyDescent="0.3">
      <c r="A27" s="39"/>
      <c r="B27" s="39">
        <f t="shared" si="0"/>
        <v>1940</v>
      </c>
      <c r="C27" s="2"/>
      <c r="D27" s="5">
        <v>12507.174947102483</v>
      </c>
      <c r="E27" s="2"/>
      <c r="F27" s="6"/>
      <c r="G27" s="2"/>
      <c r="H27" s="52">
        <v>175.1</v>
      </c>
      <c r="I27" s="7" t="str">
        <f t="shared" si="1"/>
        <v>KR</v>
      </c>
      <c r="J27" s="1"/>
    </row>
    <row r="28" spans="1:10" x14ac:dyDescent="0.25">
      <c r="A28" s="2"/>
      <c r="B28" s="2"/>
      <c r="C28" s="2"/>
      <c r="D28" s="2"/>
      <c r="E28" s="2"/>
      <c r="F28" s="2"/>
      <c r="G28" s="2"/>
      <c r="H28" s="6"/>
      <c r="I28" s="2"/>
      <c r="J28" s="1"/>
    </row>
    <row r="29" spans="1:10" x14ac:dyDescent="0.25">
      <c r="A29" s="2"/>
      <c r="B29" s="2"/>
      <c r="C29" s="2"/>
      <c r="D29" s="2"/>
      <c r="E29" s="2"/>
      <c r="F29" s="2"/>
      <c r="G29" s="2"/>
      <c r="H29" s="6"/>
      <c r="I29" s="2"/>
      <c r="J29" s="1"/>
    </row>
    <row r="30" spans="1:10" x14ac:dyDescent="0.25">
      <c r="A30" s="2"/>
      <c r="B30" s="2"/>
      <c r="C30" s="2"/>
      <c r="D30" s="2"/>
      <c r="E30" s="2"/>
      <c r="F30" s="2"/>
      <c r="G30" s="3" t="s">
        <v>15</v>
      </c>
      <c r="H30" s="10">
        <f>AVERAGE(H24:H27)</f>
        <v>175.32500000000002</v>
      </c>
      <c r="I30" s="2"/>
      <c r="J30" s="1"/>
    </row>
    <row r="31" spans="1:10" x14ac:dyDescent="0.25">
      <c r="A31" s="2"/>
      <c r="B31" s="2"/>
      <c r="C31" s="2"/>
      <c r="D31" s="2"/>
      <c r="E31" s="2"/>
      <c r="F31" s="2"/>
      <c r="G31" s="3" t="s">
        <v>16</v>
      </c>
      <c r="H31" s="10">
        <f>MAX(H24:H27)-MIN(H24:H27)</f>
        <v>0.40000000000000568</v>
      </c>
      <c r="I31" s="2"/>
      <c r="J31" s="1"/>
    </row>
    <row r="32" spans="1:10" x14ac:dyDescent="0.25">
      <c r="A32" s="2"/>
      <c r="B32" s="2"/>
      <c r="C32" s="2"/>
      <c r="D32" s="2"/>
      <c r="E32" s="2"/>
      <c r="F32" s="2"/>
      <c r="G32" s="3" t="s">
        <v>17</v>
      </c>
      <c r="H32" s="44">
        <f>STDEVP(H24:H27)</f>
        <v>0.14790199457749281</v>
      </c>
      <c r="I32" s="2"/>
      <c r="J32" s="1"/>
    </row>
    <row r="33" spans="1:10" x14ac:dyDescent="0.25">
      <c r="A33" s="2"/>
      <c r="B33" s="2"/>
      <c r="C33" s="2"/>
      <c r="D33" s="2"/>
      <c r="E33" s="2"/>
      <c r="F33" s="2"/>
      <c r="G33" s="2"/>
      <c r="H33" s="2"/>
      <c r="I33" s="2"/>
      <c r="J33" s="1"/>
    </row>
    <row r="34" spans="1:10" ht="15.75" x14ac:dyDescent="0.25">
      <c r="A34" s="2"/>
      <c r="B34" s="2"/>
      <c r="C34" s="2"/>
      <c r="D34" s="8" t="s">
        <v>21</v>
      </c>
      <c r="E34" s="2"/>
      <c r="F34" s="2"/>
      <c r="G34" s="2"/>
      <c r="H34" s="2"/>
      <c r="I34" s="2"/>
      <c r="J34" s="1"/>
    </row>
    <row r="35" spans="1:10" ht="15.75" thickBot="1" x14ac:dyDescent="0.3">
      <c r="A35" s="2"/>
      <c r="B35" s="2"/>
      <c r="C35" s="2"/>
      <c r="D35" s="2"/>
      <c r="E35" s="2"/>
      <c r="F35" s="2"/>
      <c r="G35" s="2"/>
      <c r="H35" s="2"/>
      <c r="I35" s="2"/>
      <c r="J35" s="1"/>
    </row>
    <row r="36" spans="1:10" x14ac:dyDescent="0.25">
      <c r="A36" s="26"/>
      <c r="B36" s="27"/>
      <c r="C36" s="28" t="s">
        <v>19</v>
      </c>
      <c r="D36" s="27"/>
      <c r="E36" s="27"/>
      <c r="F36" s="28" t="s">
        <v>8</v>
      </c>
      <c r="G36" s="60" t="s">
        <v>9</v>
      </c>
      <c r="H36" s="60"/>
      <c r="I36" s="61"/>
      <c r="J36" s="1"/>
    </row>
    <row r="37" spans="1:10" ht="15.75" thickBot="1" x14ac:dyDescent="0.3">
      <c r="A37" s="30"/>
      <c r="B37" s="31" t="s">
        <v>10</v>
      </c>
      <c r="C37" s="32"/>
      <c r="D37" s="33" t="s">
        <v>20</v>
      </c>
      <c r="E37" s="32"/>
      <c r="F37" s="33" t="s">
        <v>20</v>
      </c>
      <c r="G37" s="32"/>
      <c r="H37" s="49" t="s">
        <v>20</v>
      </c>
      <c r="I37" s="34" t="s">
        <v>14</v>
      </c>
      <c r="J37" s="1"/>
    </row>
    <row r="38" spans="1:10" x14ac:dyDescent="0.25">
      <c r="A38" s="39"/>
      <c r="B38" s="39">
        <f>B24</f>
        <v>1856</v>
      </c>
      <c r="C38" s="2"/>
      <c r="D38" s="5">
        <v>55386.74</v>
      </c>
      <c r="E38" s="2"/>
      <c r="F38" s="6"/>
      <c r="G38" s="2"/>
      <c r="H38" s="50">
        <v>-53.4</v>
      </c>
      <c r="I38" s="7" t="str">
        <f>I24</f>
        <v>KR</v>
      </c>
      <c r="J38" s="1"/>
    </row>
    <row r="39" spans="1:10" x14ac:dyDescent="0.25">
      <c r="A39" s="39"/>
      <c r="B39" s="39">
        <f t="shared" ref="B39:B41" si="2">B25</f>
        <v>1911</v>
      </c>
      <c r="C39" s="2"/>
      <c r="D39" s="5">
        <v>55382.81</v>
      </c>
      <c r="E39" s="2"/>
      <c r="F39" s="6"/>
      <c r="G39" s="2"/>
      <c r="H39" s="51">
        <v>-53.4</v>
      </c>
      <c r="I39" s="7" t="str">
        <f t="shared" ref="I39:I41" si="3">I25</f>
        <v>KR</v>
      </c>
      <c r="J39" s="1"/>
    </row>
    <row r="40" spans="1:10" x14ac:dyDescent="0.25">
      <c r="A40" s="39"/>
      <c r="B40" s="39">
        <f t="shared" si="2"/>
        <v>1925</v>
      </c>
      <c r="C40" s="2"/>
      <c r="D40" s="5">
        <v>55388.043999999994</v>
      </c>
      <c r="E40" s="2"/>
      <c r="F40" s="6"/>
      <c r="G40" s="2"/>
      <c r="H40" s="51">
        <v>-53.3</v>
      </c>
      <c r="I40" s="7" t="str">
        <f t="shared" si="3"/>
        <v>KR</v>
      </c>
      <c r="J40" s="1"/>
    </row>
    <row r="41" spans="1:10" ht="15.75" thickBot="1" x14ac:dyDescent="0.3">
      <c r="A41" s="39"/>
      <c r="B41" s="39">
        <f t="shared" si="2"/>
        <v>1940</v>
      </c>
      <c r="C41" s="2"/>
      <c r="D41" s="5">
        <v>55378.375</v>
      </c>
      <c r="E41" s="2"/>
      <c r="F41" s="6"/>
      <c r="G41" s="2"/>
      <c r="H41" s="52">
        <v>-53.3</v>
      </c>
      <c r="I41" s="7" t="str">
        <f t="shared" si="3"/>
        <v>KR</v>
      </c>
      <c r="J41" s="1"/>
    </row>
    <row r="42" spans="1:10" x14ac:dyDescent="0.25">
      <c r="A42" s="2"/>
      <c r="B42" s="2"/>
      <c r="C42" s="2"/>
      <c r="D42" s="2"/>
      <c r="E42" s="2"/>
      <c r="F42" s="2"/>
      <c r="G42" s="2"/>
      <c r="H42" s="7"/>
      <c r="I42" s="2"/>
      <c r="J42" s="1"/>
    </row>
    <row r="43" spans="1:10" x14ac:dyDescent="0.25">
      <c r="A43" s="2"/>
      <c r="B43" s="2"/>
      <c r="C43" s="2"/>
      <c r="D43" s="2"/>
      <c r="E43" s="2"/>
      <c r="F43" s="2"/>
      <c r="G43" s="2"/>
      <c r="H43" s="7"/>
      <c r="I43" s="2"/>
      <c r="J43" s="1"/>
    </row>
    <row r="44" spans="1:10" x14ac:dyDescent="0.25">
      <c r="A44" s="2"/>
      <c r="B44" s="2"/>
      <c r="C44" s="2"/>
      <c r="D44" s="2"/>
      <c r="E44" s="2"/>
      <c r="F44" s="2"/>
      <c r="G44" s="3" t="s">
        <v>15</v>
      </c>
      <c r="H44" s="10">
        <f>AVERAGE(H38:H41)</f>
        <v>-53.349999999999994</v>
      </c>
      <c r="I44" s="2"/>
      <c r="J44" s="1"/>
    </row>
    <row r="45" spans="1:10" x14ac:dyDescent="0.25">
      <c r="A45" s="2"/>
      <c r="B45" s="2"/>
      <c r="C45" s="2"/>
      <c r="D45" s="2"/>
      <c r="E45" s="2"/>
      <c r="F45" s="2"/>
      <c r="G45" s="3" t="s">
        <v>16</v>
      </c>
      <c r="H45" s="10">
        <f>MAX(H38:H41)-MIN(H38:H41)</f>
        <v>0.10000000000000142</v>
      </c>
      <c r="I45" s="2"/>
      <c r="J45" s="1"/>
    </row>
    <row r="46" spans="1:10" x14ac:dyDescent="0.25">
      <c r="A46" s="2"/>
      <c r="B46" s="2"/>
      <c r="C46" s="2"/>
      <c r="D46" s="2"/>
      <c r="E46" s="2"/>
      <c r="F46" s="2"/>
      <c r="G46" s="3" t="s">
        <v>17</v>
      </c>
      <c r="H46" s="44">
        <f>STDEVP(H38:H41)</f>
        <v>5.0000000000000711E-2</v>
      </c>
      <c r="I46" s="2"/>
      <c r="J46" s="1"/>
    </row>
    <row r="47" spans="1:10" ht="15.75" thickBot="1" x14ac:dyDescent="0.3">
      <c r="A47" s="2"/>
      <c r="B47" s="2"/>
      <c r="C47" s="2"/>
      <c r="D47" s="2"/>
      <c r="E47" s="2"/>
      <c r="F47" s="2"/>
      <c r="G47" s="2"/>
      <c r="H47" s="2"/>
      <c r="I47" s="2"/>
      <c r="J47" s="1"/>
    </row>
    <row r="48" spans="1:10" ht="16.5" thickBot="1" x14ac:dyDescent="0.3">
      <c r="A48" s="22" t="s">
        <v>22</v>
      </c>
      <c r="B48" s="23"/>
      <c r="C48" s="23"/>
      <c r="D48" s="47" t="s">
        <v>31</v>
      </c>
      <c r="E48" s="24"/>
      <c r="F48" s="25"/>
      <c r="G48" s="2"/>
      <c r="H48" s="2"/>
      <c r="I48" s="2"/>
      <c r="J48" s="1"/>
    </row>
    <row r="49" spans="1:10" ht="15.75" thickBot="1" x14ac:dyDescent="0.3">
      <c r="A49" s="21"/>
      <c r="B49" s="45" t="s">
        <v>23</v>
      </c>
      <c r="C49" s="23"/>
      <c r="D49" s="58" t="s">
        <v>30</v>
      </c>
      <c r="E49" s="40"/>
      <c r="F49" s="41"/>
      <c r="G49" s="2"/>
      <c r="H49" s="2"/>
      <c r="I49" s="2"/>
      <c r="J49" s="1"/>
    </row>
    <row r="50" spans="1:10" x14ac:dyDescent="0.25">
      <c r="A50" s="13" t="s">
        <v>24</v>
      </c>
      <c r="B50" s="14"/>
      <c r="C50" s="14"/>
      <c r="D50" s="14"/>
      <c r="E50" s="14"/>
      <c r="F50" s="14"/>
      <c r="G50" s="14"/>
      <c r="H50" s="14"/>
      <c r="I50" s="15"/>
      <c r="J50" s="1"/>
    </row>
    <row r="51" spans="1:10" x14ac:dyDescent="0.25">
      <c r="A51" s="16"/>
      <c r="B51" s="48"/>
      <c r="C51" s="12"/>
      <c r="D51" s="12"/>
      <c r="E51" s="12"/>
      <c r="F51" s="12"/>
      <c r="G51" s="12"/>
      <c r="H51" s="12"/>
      <c r="I51" s="17"/>
    </row>
    <row r="52" spans="1:10" x14ac:dyDescent="0.25">
      <c r="A52" s="16"/>
      <c r="B52" s="12"/>
      <c r="C52" s="12"/>
      <c r="D52" s="12"/>
      <c r="E52" s="12"/>
      <c r="F52" s="12"/>
      <c r="G52" s="12"/>
      <c r="H52" s="12"/>
      <c r="I52" s="17"/>
    </row>
    <row r="53" spans="1:10" ht="15.75" thickBot="1" x14ac:dyDescent="0.3">
      <c r="A53" s="18"/>
      <c r="B53" s="19" t="s">
        <v>25</v>
      </c>
      <c r="C53" s="19"/>
      <c r="D53" s="19"/>
      <c r="E53" s="19"/>
      <c r="F53" s="19"/>
      <c r="G53" s="19"/>
      <c r="H53" s="19"/>
      <c r="I53" s="20"/>
    </row>
  </sheetData>
  <mergeCells count="3">
    <mergeCell ref="G8:H8"/>
    <mergeCell ref="G22:I22"/>
    <mergeCell ref="G36:I36"/>
  </mergeCells>
  <pageMargins left="0.7" right="0.7" top="0.75" bottom="0.75" header="0.3" footer="0.3"/>
  <pageSetup scale="84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Sheet1</vt:lpstr>
      <vt:lpstr>Sheet2</vt:lpstr>
      <vt:lpstr>Sheet3</vt:lpstr>
      <vt:lpstr>Sheet1!Print_Area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Nesladek, Nikolas J</dc:creator>
  <cp:lastModifiedBy>Worthington, Bill</cp:lastModifiedBy>
  <cp:lastPrinted>2015-05-20T20:38:07Z</cp:lastPrinted>
  <dcterms:created xsi:type="dcterms:W3CDTF">2014-06-10T15:39:12Z</dcterms:created>
  <dcterms:modified xsi:type="dcterms:W3CDTF">2015-05-20T20:39:25Z</dcterms:modified>
</cp:coreProperties>
</file>